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eadboard_monitoring\"/>
    </mc:Choice>
  </mc:AlternateContent>
  <xr:revisionPtr revIDLastSave="0" documentId="13_ncr:1_{E97E479D-C290-422D-A954-96DB17AFE127}" xr6:coauthVersionLast="47" xr6:coauthVersionMax="47" xr10:uidLastSave="{00000000-0000-0000-0000-000000000000}"/>
  <bookViews>
    <workbookView xWindow="-120" yWindow="-120" windowWidth="38640" windowHeight="21120" xr2:uid="{ED96EF0D-4ABC-4420-949B-595DC4E585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7" i="1"/>
  <c r="B6" i="1"/>
  <c r="B7" i="1" s="1"/>
  <c r="B11" i="1" s="1"/>
  <c r="B10" i="1"/>
  <c r="B12" i="1" l="1" a="1"/>
  <c r="B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<sst xmlns="http://schemas.openxmlformats.org/spreadsheetml/2006/main" count="15" uniqueCount="15">
  <si>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Vin</t>
  </si>
  <si>
    <t>Vout</t>
  </si>
  <si>
    <t>Vd</t>
  </si>
  <si>
    <t>Iout</t>
  </si>
  <si>
    <t>efficiency</t>
  </si>
  <si>
    <t>IL</t>
  </si>
  <si>
    <t>delta IL</t>
  </si>
  <si>
    <t>Fsw</t>
  </si>
  <si>
    <t>L</t>
  </si>
  <si>
    <t>Ltop</t>
  </si>
  <si>
    <t>Lbottom</t>
  </si>
  <si>
    <t>dV</t>
  </si>
  <si>
    <t>D</t>
  </si>
  <si>
    <t>Cout</t>
  </si>
  <si>
    <t>unrealistic should be 5x more safety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</si>
</sst>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8278-BB9D-4676-9135-CB0E28B21F9A}">
  <dimension ref="A1:B20"/>
  <sheetViews>
    <sheetView tabSelected="1" workbookViewId="0">
      <selection activeCell="B21" sqref="B21"/>
    </sheetView>
  </sheetViews>
  <sheetFormatPr defaultRowHeight="15" x14ac:dyDescent="0.25"/>
  <cols>
    <col min="2" max="2" width="12" bestFit="1" customWidth="1"/>
  </cols>
  <sheetData>
    <row r="1" spans="1:2" x14ac:dyDescent="0.25">
      <c r="A1" t="s">
        <v>0</v>
      </c>
      <c r="B1">
        <v>12</v>
      </c>
    </row>
    <row r="2" spans="1:2" x14ac:dyDescent="0.25">
      <c r="A2" t="s">
        <v>1</v>
      </c>
      <c r="B2">
        <v>48</v>
      </c>
    </row>
    <row r="3" spans="1:2" x14ac:dyDescent="0.25">
      <c r="A3" t="s">
        <v>2</v>
      </c>
      <c r="B3">
        <v>0.68</v>
      </c>
    </row>
    <row r="4" spans="1:2" x14ac:dyDescent="0.25">
      <c r="A4" t="s">
        <v>3</v>
      </c>
      <c r="B4">
        <v>2.5</v>
      </c>
    </row>
    <row r="5" spans="1:2" x14ac:dyDescent="0.25">
      <c r="A5" t="s">
        <v>4</v>
      </c>
      <c r="B5">
        <v>0.9</v>
      </c>
    </row>
    <row r="6" spans="1:2" x14ac:dyDescent="0.25">
      <c r="A6" t="s">
        <v>5</v>
      </c>
      <c r="B6">
        <f>(B2*B4)/(B1*B5)</f>
        <v>11.111111111111111</v>
      </c>
    </row>
    <row r="7" spans="1:2" x14ac:dyDescent="0.25">
      <c r="A7" t="s">
        <v>6</v>
      </c>
      <c r="B7">
        <f>0.3*B6</f>
        <v>3.333333333333333</v>
      </c>
    </row>
    <row r="8" spans="1:2" x14ac:dyDescent="0.25">
      <c r="A8" t="s">
        <v>7</v>
      </c>
      <c r="B8">
        <v>200000</v>
      </c>
    </row>
    <row r="10" spans="1:2" x14ac:dyDescent="0.25">
      <c r="A10" t="s">
        <v>9</v>
      </c>
      <c r="B10">
        <f>B1*(B2+B3-B1)</f>
        <v>440.15999999999997</v>
      </c>
    </row>
    <row r="11" spans="1:2" x14ac:dyDescent="0.25">
      <c r="A11" t="s">
        <v>10</v>
      </c>
      <c r="B11">
        <f>B7*B8*(B2+B3)</f>
        <v>32453333.333333332</v>
      </c>
    </row>
    <row r="12" spans="1:2" x14ac:dyDescent="0.25">
      <c r="A12" t="s">
        <v>8</v>
      </c>
      <c r="B12" cm="1">
        <f t="array" ref="B12">B10/_xlfn.ANCHORARRAY(B11)</f>
        <v>1.3562859490550534E-5</v>
      </c>
    </row>
    <row r="16" spans="1:2" x14ac:dyDescent="0.25">
      <c r="A16" t="s">
        <v>11</v>
      </c>
      <c r="B16">
        <v>0.48</v>
      </c>
    </row>
    <row r="17" spans="1:2" x14ac:dyDescent="0.25">
      <c r="A17" t="s">
        <v>12</v>
      </c>
      <c r="B17">
        <f>1-(B1*B5)/B2</f>
        <v>0.77500000000000002</v>
      </c>
    </row>
    <row r="18" spans="1:2" x14ac:dyDescent="0.25">
      <c r="A18" t="s">
        <v>13</v>
      </c>
      <c r="B18">
        <f>(B4*B17)/(B8*B16)</f>
        <v>2.0182291666666667E-5</v>
      </c>
    </row>
    <row r="20" spans="1:2" x14ac:dyDescent="0.25">
      <c r="B2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Lee</dc:creator>
  <cp:lastModifiedBy>Christopher Lee</cp:lastModifiedBy>
  <dcterms:created xsi:type="dcterms:W3CDTF">2025-11-17T23:56:51Z</dcterms:created>
  <dcterms:modified xsi:type="dcterms:W3CDTF">2025-11-19T00:46:29Z</dcterms:modified>
</cp:coreProperties>
</file>